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4d2cc7e59c36d5/Documents/Python/MUSHRA/results/"/>
    </mc:Choice>
  </mc:AlternateContent>
  <xr:revisionPtr revIDLastSave="16" documentId="8_{28D02B08-D480-4ABB-B995-C2D40358353B}" xr6:coauthVersionLast="47" xr6:coauthVersionMax="47" xr10:uidLastSave="{1E77703F-77E7-46EB-8692-554DEA50E87C}"/>
  <bookViews>
    <workbookView xWindow="2580" yWindow="2580" windowWidth="17280" windowHeight="10680" xr2:uid="{DE68909A-102D-4C1A-B121-7A44F68DBD51}"/>
  </bookViews>
  <sheets>
    <sheet name="bss_eval_results_proce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N13" i="1"/>
  <c r="N14" i="1"/>
  <c r="N15" i="1"/>
  <c r="N16" i="1"/>
  <c r="N17" i="1"/>
  <c r="M14" i="1"/>
  <c r="M13" i="1"/>
  <c r="M15" i="1"/>
  <c r="M16" i="1"/>
  <c r="M17" i="1"/>
</calcChain>
</file>

<file path=xl/sharedStrings.xml><?xml version="1.0" encoding="utf-8"?>
<sst xmlns="http://schemas.openxmlformats.org/spreadsheetml/2006/main" count="134" uniqueCount="56">
  <si>
    <t>reference_file</t>
  </si>
  <si>
    <t>reference_stem</t>
  </si>
  <si>
    <t>model</t>
  </si>
  <si>
    <t>estimated_file</t>
  </si>
  <si>
    <t>SDR</t>
  </si>
  <si>
    <t>celebrate_bass.wav</t>
  </si>
  <si>
    <t>celebrate_bass</t>
  </si>
  <si>
    <t>anchor</t>
  </si>
  <si>
    <t>celebrate_anchor_bass.wav</t>
  </si>
  <si>
    <t>dv2</t>
  </si>
  <si>
    <t>celebrate_dv2_bass.wav</t>
  </si>
  <si>
    <t>htdemucs</t>
  </si>
  <si>
    <t>celebrate_htdemucs_bass.wav</t>
  </si>
  <si>
    <t>reference</t>
  </si>
  <si>
    <t>celebrate_reference_bass.wav</t>
  </si>
  <si>
    <t>spleeter</t>
  </si>
  <si>
    <t>celebrate_spleeter_bass.wav</t>
  </si>
  <si>
    <t>dropnoir_drums.wav</t>
  </si>
  <si>
    <t>dropnoir_drums</t>
  </si>
  <si>
    <t>dropnoir_anchor_drums.wav</t>
  </si>
  <si>
    <t>dropnoir_dv2_drums.wav</t>
  </si>
  <si>
    <t>dropnoir_htdemucs_drums.wav</t>
  </si>
  <si>
    <t>dropnoir_reference_drums.wav</t>
  </si>
  <si>
    <t>dropnoir_spleeter_drums.wav</t>
  </si>
  <si>
    <t>jackiesgarage_bass.wav</t>
  </si>
  <si>
    <t>jackiesgarage_bass</t>
  </si>
  <si>
    <t>jackiesgarage_anchor_bass.wav</t>
  </si>
  <si>
    <t>Model</t>
  </si>
  <si>
    <t>Avg. SDR (Bass)</t>
  </si>
  <si>
    <t>Avg. SDR (Drums)</t>
  </si>
  <si>
    <t>jackiesgarage_dv2_bass.wav</t>
  </si>
  <si>
    <t>jackiesgarage_htdemucs_bass.wav</t>
  </si>
  <si>
    <t>jackiesgarage_reference_bass.wav</t>
  </si>
  <si>
    <t>jackiesgarage_spleeter_bass.wav</t>
  </si>
  <si>
    <t>monstaclat_drums.wav</t>
  </si>
  <si>
    <t>monstaclat_drums</t>
  </si>
  <si>
    <t>monstaclat_anchor_drums.wav</t>
  </si>
  <si>
    <t>monstaclat_dv2_drums.wav</t>
  </si>
  <si>
    <t>monstaclat_htdemucs_drums.wav</t>
  </si>
  <si>
    <t>monstaclat_reference_drums.wav</t>
  </si>
  <si>
    <t>monstaclat_spleeter_drums.wav</t>
  </si>
  <si>
    <t>nogravity_drums.wav</t>
  </si>
  <si>
    <t>nogravity_drums</t>
  </si>
  <si>
    <t>nogravity_anchor_drums.wav</t>
  </si>
  <si>
    <t>nogravity_dv2_drums.wav</t>
  </si>
  <si>
    <t>nogravity_htdemucs_drums.wav</t>
  </si>
  <si>
    <t>nogravity_reference_drums.wav</t>
  </si>
  <si>
    <t>nogravity_spleeter_drums.wav</t>
  </si>
  <si>
    <t>thisfeeling_bass.wav</t>
  </si>
  <si>
    <t>thisfeeling_bass</t>
  </si>
  <si>
    <t>thisfeeling_anchor_bass.wav</t>
  </si>
  <si>
    <t>thisfeeling_dv2_bass.wav</t>
  </si>
  <si>
    <t>thisfeeling_htdemucs_bass.wav</t>
  </si>
  <si>
    <t>thisfeeling_reference_bass.wav</t>
  </si>
  <si>
    <t>thisfeeling_spleeter_bass.wav</t>
  </si>
  <si>
    <t>Stem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</si>
</sst>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0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1212D-6D8A-4C79-8D46-17F8CB3C5EAB}" name="Table1" displayName="Table1" ref="L12:N17" totalsRowShown="0" headerRowDxfId="7" dataDxfId="5" headerRowBorderDxfId="6" tableBorderDxfId="4" totalsRowBorderDxfId="3">
  <autoFilter ref="L12:N17" xr:uid="{FE21212D-6D8A-4C79-8D46-17F8CB3C5EAB}">
    <filterColumn colId="0" hiddenButton="1"/>
    <filterColumn colId="1" hiddenButton="1"/>
    <filterColumn colId="2" hiddenButton="1"/>
  </autoFilter>
  <tableColumns count="3">
    <tableColumn id="1" xr3:uid="{4F03043A-3A99-4731-B722-1A04D2E638A2}" name="Model" dataDxfId="2"/>
    <tableColumn id="2" xr3:uid="{33791FC4-257D-4FCC-8234-674404D8C1C0}" name="Avg. SDR (Bass)" dataDxfId="1">
      <calculatedColumnFormula>AVERAGEIFS($E$2:$E$31, $C$2:$C$31, Table1[[#This Row],[Model]], $B$2:$B$31, "*bass*")</calculatedColumnFormula>
    </tableColumn>
    <tableColumn id="3" xr3:uid="{D3F64C99-1CD6-4AC9-948B-DBA48782BBCA}" name="Avg. SDR (Drums)" dataDxfId="0">
      <calculatedColumnFormula>AVERAGEIFS($E$2:$E$31, $C$2:$C$31, Table1[[#This Row],[Model]], $B$2:$B$31, "*drums*")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1BF3-0B26-4B8F-B506-6E6DFBAA87A2}">
  <dimension ref="A1:N31"/>
  <sheetViews>
    <sheetView tabSelected="1" workbookViewId="0">
      <selection activeCell="K26" sqref="K26"/>
    </sheetView>
  </sheetViews>
  <sheetFormatPr defaultRowHeight="14.4" x14ac:dyDescent="0.3"/>
  <cols>
    <col min="1" max="1" width="20.5546875" bestFit="1" customWidth="1"/>
    <col min="2" max="2" width="16.77734375" bestFit="1" customWidth="1"/>
    <col min="3" max="3" width="9" bestFit="1" customWidth="1"/>
    <col min="4" max="4" width="29.6640625" bestFit="1" customWidth="1"/>
    <col min="5" max="5" width="12.6640625" bestFit="1" customWidth="1"/>
    <col min="12" max="12" width="9" bestFit="1" customWidth="1"/>
    <col min="13" max="13" width="16.109375" bestFit="1" customWidth="1"/>
    <col min="14" max="14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</row>
    <row r="2" spans="1:14" x14ac:dyDescent="0.3">
      <c r="A2" t="s">
        <v>5</v>
      </c>
      <c r="B2" t="s">
        <v>6</v>
      </c>
      <c r="C2" t="s">
        <v>7</v>
      </c>
      <c r="D2" t="s">
        <v>8</v>
      </c>
      <c r="E2">
        <v>-4.7147562609999998</v>
      </c>
      <c r="F2" t="str">
        <f>IF(ISNUMBER(SEARCH("drums",B2)), "drums", "bass")</f>
        <v>bass</v>
      </c>
    </row>
    <row r="3" spans="1:14" x14ac:dyDescent="0.3">
      <c r="A3" t="s">
        <v>5</v>
      </c>
      <c r="B3" t="s">
        <v>6</v>
      </c>
      <c r="C3" t="s">
        <v>9</v>
      </c>
      <c r="D3" t="s">
        <v>10</v>
      </c>
      <c r="E3">
        <v>19.047624450000001</v>
      </c>
      <c r="F3" t="str">
        <f t="shared" ref="F3:F31" si="0">IF(ISNUMBER(SEARCH("drums",B3)), "drums", "bass")</f>
        <v>bass</v>
      </c>
    </row>
    <row r="4" spans="1:14" x14ac:dyDescent="0.3">
      <c r="A4" t="s">
        <v>5</v>
      </c>
      <c r="B4" t="s">
        <v>6</v>
      </c>
      <c r="C4" t="s">
        <v>11</v>
      </c>
      <c r="D4" t="s">
        <v>12</v>
      </c>
      <c r="E4">
        <v>16.695711110000001</v>
      </c>
      <c r="F4" t="str">
        <f t="shared" si="0"/>
        <v>bass</v>
      </c>
    </row>
    <row r="5" spans="1:14" x14ac:dyDescent="0.3">
      <c r="A5" t="s">
        <v>5</v>
      </c>
      <c r="B5" t="s">
        <v>6</v>
      </c>
      <c r="C5" t="s">
        <v>13</v>
      </c>
      <c r="D5" t="s">
        <v>14</v>
      </c>
      <c r="E5">
        <v>227.3250079</v>
      </c>
      <c r="F5" t="str">
        <f t="shared" si="0"/>
        <v>bass</v>
      </c>
    </row>
    <row r="6" spans="1:14" x14ac:dyDescent="0.3">
      <c r="A6" t="s">
        <v>5</v>
      </c>
      <c r="B6" t="s">
        <v>6</v>
      </c>
      <c r="C6" t="s">
        <v>15</v>
      </c>
      <c r="D6" t="s">
        <v>16</v>
      </c>
      <c r="E6">
        <v>4.3913465020000002</v>
      </c>
      <c r="F6" t="str">
        <f t="shared" si="0"/>
        <v>bass</v>
      </c>
    </row>
    <row r="7" spans="1:14" x14ac:dyDescent="0.3">
      <c r="A7" t="s">
        <v>17</v>
      </c>
      <c r="B7" t="s">
        <v>18</v>
      </c>
      <c r="C7" t="s">
        <v>7</v>
      </c>
      <c r="D7" t="s">
        <v>19</v>
      </c>
      <c r="E7">
        <v>-7.0055993350000003</v>
      </c>
      <c r="F7" t="str">
        <f t="shared" si="0"/>
        <v>drums</v>
      </c>
    </row>
    <row r="8" spans="1:14" x14ac:dyDescent="0.3">
      <c r="A8" t="s">
        <v>17</v>
      </c>
      <c r="B8" t="s">
        <v>18</v>
      </c>
      <c r="C8" t="s">
        <v>9</v>
      </c>
      <c r="D8" t="s">
        <v>20</v>
      </c>
      <c r="E8">
        <v>1.077304466</v>
      </c>
      <c r="F8" t="str">
        <f t="shared" si="0"/>
        <v>drums</v>
      </c>
    </row>
    <row r="9" spans="1:14" x14ac:dyDescent="0.3">
      <c r="A9" t="s">
        <v>17</v>
      </c>
      <c r="B9" t="s">
        <v>18</v>
      </c>
      <c r="C9" t="s">
        <v>11</v>
      </c>
      <c r="D9" t="s">
        <v>21</v>
      </c>
      <c r="E9">
        <v>2.9378260630000002</v>
      </c>
      <c r="F9" t="str">
        <f t="shared" si="0"/>
        <v>drums</v>
      </c>
    </row>
    <row r="10" spans="1:14" x14ac:dyDescent="0.3">
      <c r="A10" t="s">
        <v>17</v>
      </c>
      <c r="B10" t="s">
        <v>18</v>
      </c>
      <c r="C10" t="s">
        <v>13</v>
      </c>
      <c r="D10" t="s">
        <v>22</v>
      </c>
      <c r="E10">
        <v>234.683032</v>
      </c>
      <c r="F10" t="str">
        <f t="shared" si="0"/>
        <v>drums</v>
      </c>
    </row>
    <row r="11" spans="1:14" x14ac:dyDescent="0.3">
      <c r="A11" t="s">
        <v>17</v>
      </c>
      <c r="B11" t="s">
        <v>18</v>
      </c>
      <c r="C11" t="s">
        <v>15</v>
      </c>
      <c r="D11" t="s">
        <v>23</v>
      </c>
      <c r="E11">
        <v>-1.364772696</v>
      </c>
      <c r="F11" t="str">
        <f t="shared" si="0"/>
        <v>drums</v>
      </c>
    </row>
    <row r="12" spans="1:14" x14ac:dyDescent="0.3">
      <c r="A12" t="s">
        <v>24</v>
      </c>
      <c r="B12" t="s">
        <v>25</v>
      </c>
      <c r="C12" t="s">
        <v>7</v>
      </c>
      <c r="D12" t="s">
        <v>26</v>
      </c>
      <c r="E12">
        <v>-17.164895959999999</v>
      </c>
      <c r="F12" t="str">
        <f t="shared" si="0"/>
        <v>bass</v>
      </c>
      <c r="L12" s="1" t="s">
        <v>27</v>
      </c>
      <c r="M12" s="2" t="s">
        <v>28</v>
      </c>
      <c r="N12" s="3" t="s">
        <v>29</v>
      </c>
    </row>
    <row r="13" spans="1:14" x14ac:dyDescent="0.3">
      <c r="A13" t="s">
        <v>24</v>
      </c>
      <c r="B13" t="s">
        <v>25</v>
      </c>
      <c r="C13" t="s">
        <v>9</v>
      </c>
      <c r="D13" t="s">
        <v>30</v>
      </c>
      <c r="E13">
        <v>1.4866204949999999</v>
      </c>
      <c r="F13" t="str">
        <f t="shared" si="0"/>
        <v>bass</v>
      </c>
      <c r="L13" s="4" t="s">
        <v>7</v>
      </c>
      <c r="M13" s="5">
        <f>AVERAGEIFS($E$2:$E$31, $C$2:$C$31, Table1[[#This Row],[Model]], $B$2:$B$31, "*bass*")</f>
        <v>-14.072155850333333</v>
      </c>
      <c r="N13" s="6">
        <f>AVERAGEIFS($E$2:$E$31, $C$2:$C$31, Table1[[#This Row],[Model]], $B$2:$B$31, "*drums*")</f>
        <v>-11.784543611666669</v>
      </c>
    </row>
    <row r="14" spans="1:14" x14ac:dyDescent="0.3">
      <c r="A14" t="s">
        <v>24</v>
      </c>
      <c r="B14" t="s">
        <v>25</v>
      </c>
      <c r="C14" t="s">
        <v>11</v>
      </c>
      <c r="D14" t="s">
        <v>31</v>
      </c>
      <c r="E14">
        <v>12.48590884</v>
      </c>
      <c r="F14" t="str">
        <f t="shared" si="0"/>
        <v>bass</v>
      </c>
      <c r="L14" s="4" t="s">
        <v>9</v>
      </c>
      <c r="M14" s="5">
        <f>AVERAGEIFS($E$2:$E$31, $C$2:$C$31, Table1[[#This Row],[Model]], $B$2:$B$31, "*bass*")</f>
        <v>7.2891765663333343</v>
      </c>
      <c r="N14" s="6">
        <f>AVERAGEIFS($E$2:$E$31, $C$2:$C$31, Table1[[#This Row],[Model]], $B$2:$B$31, "*drums*")</f>
        <v>2.2900236719999998</v>
      </c>
    </row>
    <row r="15" spans="1:14" x14ac:dyDescent="0.3">
      <c r="A15" t="s">
        <v>24</v>
      </c>
      <c r="B15" t="s">
        <v>25</v>
      </c>
      <c r="C15" t="s">
        <v>13</v>
      </c>
      <c r="D15" t="s">
        <v>32</v>
      </c>
      <c r="E15">
        <v>213.53677049999999</v>
      </c>
      <c r="F15" t="str">
        <f t="shared" si="0"/>
        <v>bass</v>
      </c>
      <c r="L15" s="4" t="s">
        <v>11</v>
      </c>
      <c r="M15" s="5">
        <f>AVERAGEIFS($E$2:$E$31, $C$2:$C$31, Table1[[#This Row],[Model]], $B$2:$B$31, "*bass*")</f>
        <v>14.827709196666667</v>
      </c>
      <c r="N15" s="6">
        <f>AVERAGEIFS($E$2:$E$31, $C$2:$C$31, Table1[[#This Row],[Model]], $B$2:$B$31, "*drums*")</f>
        <v>5.3033526580000006</v>
      </c>
    </row>
    <row r="16" spans="1:14" x14ac:dyDescent="0.3">
      <c r="A16" t="s">
        <v>24</v>
      </c>
      <c r="B16" t="s">
        <v>25</v>
      </c>
      <c r="C16" t="s">
        <v>15</v>
      </c>
      <c r="D16" t="s">
        <v>33</v>
      </c>
      <c r="E16">
        <v>0.251056055</v>
      </c>
      <c r="F16" t="str">
        <f t="shared" si="0"/>
        <v>bass</v>
      </c>
      <c r="L16" s="4" t="s">
        <v>13</v>
      </c>
      <c r="M16" s="5">
        <f>AVERAGEIFS($E$2:$E$31, $C$2:$C$31, Table1[[#This Row],[Model]], $B$2:$B$31, "*bass*")</f>
        <v>226.84385039999998</v>
      </c>
      <c r="N16" s="6">
        <f>AVERAGEIFS($E$2:$E$31, $C$2:$C$31, Table1[[#This Row],[Model]], $B$2:$B$31, "*drums*")</f>
        <v>239.59580056666667</v>
      </c>
    </row>
    <row r="17" spans="1:14" x14ac:dyDescent="0.3">
      <c r="A17" t="s">
        <v>34</v>
      </c>
      <c r="B17" t="s">
        <v>35</v>
      </c>
      <c r="C17" t="s">
        <v>7</v>
      </c>
      <c r="D17" t="s">
        <v>36</v>
      </c>
      <c r="E17">
        <v>-8.8788729400000008</v>
      </c>
      <c r="F17" t="str">
        <f t="shared" si="0"/>
        <v>drums</v>
      </c>
      <c r="L17" s="7" t="s">
        <v>15</v>
      </c>
      <c r="M17" s="8">
        <f>AVERAGEIFS($E$2:$E$31, $C$2:$C$31, Table1[[#This Row],[Model]], $B$2:$B$31, "*bass*")</f>
        <v>2.3470706363333336</v>
      </c>
      <c r="N17" s="9">
        <f>AVERAGEIFS($E$2:$E$31, $C$2:$C$31, Table1[[#This Row],[Model]], $B$2:$B$31, "*drums*")</f>
        <v>1.8056548616666668</v>
      </c>
    </row>
    <row r="18" spans="1:14" x14ac:dyDescent="0.3">
      <c r="A18" t="s">
        <v>34</v>
      </c>
      <c r="B18" t="s">
        <v>35</v>
      </c>
      <c r="C18" t="s">
        <v>9</v>
      </c>
      <c r="D18" t="s">
        <v>37</v>
      </c>
      <c r="E18">
        <v>2.1579933659999999</v>
      </c>
      <c r="F18" t="str">
        <f t="shared" si="0"/>
        <v>drums</v>
      </c>
    </row>
    <row r="19" spans="1:14" x14ac:dyDescent="0.3">
      <c r="A19" t="s">
        <v>34</v>
      </c>
      <c r="B19" t="s">
        <v>35</v>
      </c>
      <c r="C19" t="s">
        <v>11</v>
      </c>
      <c r="D19" t="s">
        <v>38</v>
      </c>
      <c r="E19">
        <v>5.0135573420000004</v>
      </c>
      <c r="F19" t="str">
        <f t="shared" si="0"/>
        <v>drums</v>
      </c>
    </row>
    <row r="20" spans="1:14" x14ac:dyDescent="0.3">
      <c r="A20" t="s">
        <v>34</v>
      </c>
      <c r="B20" t="s">
        <v>35</v>
      </c>
      <c r="C20" t="s">
        <v>13</v>
      </c>
      <c r="D20" t="s">
        <v>39</v>
      </c>
      <c r="E20">
        <v>239.46082000000001</v>
      </c>
      <c r="F20" t="str">
        <f t="shared" si="0"/>
        <v>drums</v>
      </c>
    </row>
    <row r="21" spans="1:14" x14ac:dyDescent="0.3">
      <c r="A21" t="s">
        <v>34</v>
      </c>
      <c r="B21" t="s">
        <v>35</v>
      </c>
      <c r="C21" t="s">
        <v>15</v>
      </c>
      <c r="D21" t="s">
        <v>40</v>
      </c>
      <c r="E21">
        <v>3.5126649830000001</v>
      </c>
      <c r="F21" t="str">
        <f t="shared" si="0"/>
        <v>drums</v>
      </c>
    </row>
    <row r="22" spans="1:14" x14ac:dyDescent="0.3">
      <c r="A22" t="s">
        <v>41</v>
      </c>
      <c r="B22" t="s">
        <v>42</v>
      </c>
      <c r="C22" t="s">
        <v>7</v>
      </c>
      <c r="D22" t="s">
        <v>43</v>
      </c>
      <c r="E22">
        <v>-19.46915856</v>
      </c>
      <c r="F22" t="str">
        <f t="shared" si="0"/>
        <v>drums</v>
      </c>
    </row>
    <row r="23" spans="1:14" x14ac:dyDescent="0.3">
      <c r="A23" t="s">
        <v>41</v>
      </c>
      <c r="B23" t="s">
        <v>42</v>
      </c>
      <c r="C23" t="s">
        <v>9</v>
      </c>
      <c r="D23" t="s">
        <v>44</v>
      </c>
      <c r="E23">
        <v>3.6347731840000002</v>
      </c>
      <c r="F23" t="str">
        <f t="shared" si="0"/>
        <v>drums</v>
      </c>
    </row>
    <row r="24" spans="1:14" x14ac:dyDescent="0.3">
      <c r="A24" t="s">
        <v>41</v>
      </c>
      <c r="B24" t="s">
        <v>42</v>
      </c>
      <c r="C24" t="s">
        <v>11</v>
      </c>
      <c r="D24" t="s">
        <v>45</v>
      </c>
      <c r="E24">
        <v>7.9586745690000003</v>
      </c>
      <c r="F24" t="str">
        <f t="shared" si="0"/>
        <v>drums</v>
      </c>
    </row>
    <row r="25" spans="1:14" x14ac:dyDescent="0.3">
      <c r="A25" t="s">
        <v>41</v>
      </c>
      <c r="B25" t="s">
        <v>42</v>
      </c>
      <c r="C25" t="s">
        <v>13</v>
      </c>
      <c r="D25" t="s">
        <v>46</v>
      </c>
      <c r="E25">
        <v>244.64354969999999</v>
      </c>
      <c r="F25" t="str">
        <f t="shared" si="0"/>
        <v>drums</v>
      </c>
    </row>
    <row r="26" spans="1:14" x14ac:dyDescent="0.3">
      <c r="A26" t="s">
        <v>41</v>
      </c>
      <c r="B26" t="s">
        <v>42</v>
      </c>
      <c r="C26" t="s">
        <v>15</v>
      </c>
      <c r="D26" t="s">
        <v>47</v>
      </c>
      <c r="E26">
        <v>3.2690722980000002</v>
      </c>
      <c r="F26" t="str">
        <f t="shared" si="0"/>
        <v>drums</v>
      </c>
    </row>
    <row r="27" spans="1:14" x14ac:dyDescent="0.3">
      <c r="A27" t="s">
        <v>48</v>
      </c>
      <c r="B27" t="s">
        <v>49</v>
      </c>
      <c r="C27" t="s">
        <v>7</v>
      </c>
      <c r="D27" t="s">
        <v>50</v>
      </c>
      <c r="E27">
        <v>-20.33681533</v>
      </c>
      <c r="F27" t="str">
        <f t="shared" si="0"/>
        <v>bass</v>
      </c>
    </row>
    <row r="28" spans="1:14" x14ac:dyDescent="0.3">
      <c r="A28" t="s">
        <v>48</v>
      </c>
      <c r="B28" t="s">
        <v>49</v>
      </c>
      <c r="C28" t="s">
        <v>9</v>
      </c>
      <c r="D28" t="s">
        <v>51</v>
      </c>
      <c r="E28">
        <v>1.3332847539999999</v>
      </c>
      <c r="F28" t="str">
        <f t="shared" si="0"/>
        <v>bass</v>
      </c>
    </row>
    <row r="29" spans="1:14" x14ac:dyDescent="0.3">
      <c r="A29" t="s">
        <v>48</v>
      </c>
      <c r="B29" t="s">
        <v>49</v>
      </c>
      <c r="C29" t="s">
        <v>11</v>
      </c>
      <c r="D29" t="s">
        <v>52</v>
      </c>
      <c r="E29">
        <v>15.301507640000001</v>
      </c>
      <c r="F29" t="str">
        <f t="shared" si="0"/>
        <v>bass</v>
      </c>
    </row>
    <row r="30" spans="1:14" x14ac:dyDescent="0.3">
      <c r="A30" t="s">
        <v>48</v>
      </c>
      <c r="B30" t="s">
        <v>49</v>
      </c>
      <c r="C30" t="s">
        <v>13</v>
      </c>
      <c r="D30" t="s">
        <v>53</v>
      </c>
      <c r="E30">
        <v>239.6697728</v>
      </c>
      <c r="F30" t="str">
        <f t="shared" si="0"/>
        <v>bass</v>
      </c>
    </row>
    <row r="31" spans="1:14" x14ac:dyDescent="0.3">
      <c r="A31" t="s">
        <v>48</v>
      </c>
      <c r="B31" t="s">
        <v>49</v>
      </c>
      <c r="C31" t="s">
        <v>15</v>
      </c>
      <c r="D31" t="s">
        <v>54</v>
      </c>
      <c r="E31">
        <v>2.3988093519999998</v>
      </c>
      <c r="F31" t="str">
        <f t="shared" si="0"/>
        <v>bass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bss_eval_results_processed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Sahan Wijewardane</cp:lastModifiedBy>
  <dcterms:created xsi:type="dcterms:W3CDTF">2025-11-25T18:10:59Z</dcterms:created>
  <dcterms:modified xsi:type="dcterms:W3CDTF">2025-12-08T14:42:23Z</dcterms:modified>
</cp:coreProperties>
</file>